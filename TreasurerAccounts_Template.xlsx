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RawData" sheetId="2" state="visible" r:id="rId2"/>
    <sheet name="Transactions" sheetId="3" state="visible" r:id="rId3"/>
    <sheet name="Member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awDataTable" displayName="RawDataTable" ref="A1:C2" headerRowCount="1">
  <autoFilter ref="A1:C2"/>
  <tableColumns count="3">
    <tableColumn id="1" name="Trans Date"/>
    <tableColumn id="2" name="Description"/>
    <tableColumn id="3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Export Field</t>
        </is>
      </c>
      <c r="B1" t="inlineStr">
        <is>
          <t>Target Field</t>
        </is>
      </c>
      <c r="D1" t="inlineStr">
        <is>
          <t>Categories</t>
        </is>
      </c>
    </row>
    <row r="2">
      <c r="A2" t="inlineStr">
        <is>
          <t>Trans Date</t>
        </is>
      </c>
      <c r="B2" t="inlineStr">
        <is>
          <t>Date</t>
        </is>
      </c>
      <c r="D2" t="inlineStr">
        <is>
          <t>Lodge Funds</t>
        </is>
      </c>
    </row>
    <row r="3">
      <c r="A3" t="inlineStr">
        <is>
          <t>Description</t>
        </is>
      </c>
      <c r="B3" t="inlineStr">
        <is>
          <t>Description</t>
        </is>
      </c>
      <c r="D3" t="inlineStr">
        <is>
          <t>Charity</t>
        </is>
      </c>
    </row>
    <row r="4">
      <c r="A4" t="inlineStr">
        <is>
          <t>Amount</t>
        </is>
      </c>
      <c r="B4" t="inlineStr">
        <is>
          <t>Amount</t>
        </is>
      </c>
      <c r="D4" t="inlineStr">
        <is>
          <t>Benevolent Funds</t>
        </is>
      </c>
    </row>
    <row r="5">
      <c r="D5" t="inlineStr">
        <is>
          <t>LOI</t>
        </is>
      </c>
    </row>
    <row r="6">
      <c r="D6" t="inlineStr">
        <is>
          <t>Dining Fees</t>
        </is>
      </c>
    </row>
    <row r="7">
      <c r="D7" t="inlineStr">
        <is>
          <t>Tyler Payment</t>
        </is>
      </c>
    </row>
    <row r="8">
      <c r="D8" t="inlineStr">
        <is>
          <t>Gavel Collection</t>
        </is>
      </c>
    </row>
    <row r="9">
      <c r="D9" t="inlineStr">
        <is>
          <t>Raffle 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2025-01-15</t>
        </is>
      </c>
      <c r="B2" t="inlineStr">
        <is>
          <t>Sample Bank Transaction</t>
        </is>
      </c>
      <c r="C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Payment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Name</t>
        </is>
      </c>
      <c r="C1" t="inlineStr">
        <is>
          <t>Sub Account</t>
        </is>
      </c>
    </row>
    <row r="2">
      <c r="A2" t="n">
        <v>1</v>
      </c>
      <c r="B2" t="inlineStr">
        <is>
          <t>John Doe</t>
        </is>
      </c>
      <c r="C2" t="inlineStr">
        <is>
          <t>Lodge Funds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Lodge Funds</t>
        </is>
      </c>
      <c r="B2">
        <f>SUMIF(Transactions!D:D, "Lodge Funds", Transactions!C:C)</f>
        <v/>
      </c>
    </row>
    <row r="3">
      <c r="A3" t="inlineStr">
        <is>
          <t>Charity</t>
        </is>
      </c>
      <c r="B3">
        <f>SUMIF(Transactions!D:D, "Charity", Transactions!C:C)</f>
        <v/>
      </c>
    </row>
    <row r="4">
      <c r="A4" t="inlineStr">
        <is>
          <t>Benevolent Funds</t>
        </is>
      </c>
      <c r="B4">
        <f>SUMIF(Transactions!D:D, "Benevolent Funds", Transactions!C:C)</f>
        <v/>
      </c>
    </row>
    <row r="5">
      <c r="A5" t="inlineStr">
        <is>
          <t>LOI</t>
        </is>
      </c>
      <c r="B5">
        <f>SUMIF(Transactions!D:D, "LOI", Transactions!C:C)</f>
        <v/>
      </c>
    </row>
    <row r="6">
      <c r="A6" t="inlineStr">
        <is>
          <t>Dining Fees</t>
        </is>
      </c>
      <c r="B6">
        <f>SUMIF(Transactions!D:D, "Dining Fees", Transactions!C:C)</f>
        <v/>
      </c>
    </row>
    <row r="7">
      <c r="A7" t="inlineStr">
        <is>
          <t>Tyler Payment</t>
        </is>
      </c>
      <c r="B7">
        <f>SUMIF(Transactions!D:D, "Tyler Payment", Transactions!C:C)</f>
        <v/>
      </c>
    </row>
    <row r="8">
      <c r="A8" t="inlineStr">
        <is>
          <t>Gavel Collection</t>
        </is>
      </c>
      <c r="B8">
        <f>SUMIF(Transactions!D:D, "Gavel Collection", Transactions!C:C)</f>
        <v/>
      </c>
    </row>
    <row r="9">
      <c r="A9" t="inlineStr">
        <is>
          <t>Raffle Collection</t>
        </is>
      </c>
      <c r="B9">
        <f>SUMIF(Transactions!D:D, "Raffle Collection", Transactions!C:C)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2025-03-15T12:15:29Z</dcterms:created>
  <dcterms:modified xsi:type="dcterms:W3CDTF">2025-03-15T12:15:29Z</dcterms:modified>
</cp:coreProperties>
</file>